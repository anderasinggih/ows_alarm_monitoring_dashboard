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Site" sheetId="1" state="visible" r:id="rId3"/>
    <sheet name="Alarm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<sst xmlns="http://schemas.openxmlformats.org/spreadsheetml/2006/main" count="182" uniqueCount="34">
  <si>
    <t xml:space="preserve">Alarm Downtime by Site — Export</t>
  </si>
  <si>
    <t xml:space="preserve">Time range: 04 Aug 2026, 08:00 – 05 Aug 2026, 08:00</t>
  </si>
  <si>
    <t xml:space="preserve">Sort: highest downtime</t>
  </si>
  <si>
    <t xml:space="preserve">Generated: 2026-08-04 08:13</t>
  </si>
  <si>
    <t xml:space="preserve">No</t>
  </si>
  <si>
    <t xml:space="preserve">Site name</t>
  </si>
  <si>
    <t xml:space="preserve">Alarm count</t>
  </si>
  <si>
    <t xml:space="preserve">Downtime</t>
  </si>
  <si>
    <t xml:space="preserve">Available</t>
  </si>
  <si>
    <t xml:space="preserve">Availability %</t>
  </si>
  <si>
    <t xml:space="preserve">Last occurrence</t>
  </si>
  <si>
    <t xml:space="preserve">Magetan</t>
  </si>
  <si>
    <t xml:space="preserve">Lawang</t>
  </si>
  <si>
    <t xml:space="preserve">Pemalang</t>
  </si>
  <si>
    <t xml:space="preserve">Semarang Poncol</t>
  </si>
  <si>
    <t xml:space="preserve">Poris</t>
  </si>
  <si>
    <t xml:space="preserve">Cirebon</t>
  </si>
  <si>
    <t xml:space="preserve">Weleri</t>
  </si>
  <si>
    <t xml:space="preserve">Total / average</t>
  </si>
  <si>
    <t xml:space="preserve">Alarm name</t>
  </si>
  <si>
    <t xml:space="preserve">Occur</t>
  </si>
  <si>
    <t xml:space="preserve">Clear</t>
  </si>
  <si>
    <t xml:space="preserve">Duration</t>
  </si>
  <si>
    <t xml:space="preserve">Bad Package Error Rising</t>
  </si>
  <si>
    <t xml:space="preserve">ONU_TO_OLT_RXPOWER_OVER</t>
  </si>
  <si>
    <t xml:space="preserve">The distribute fiber is broken or the OLT cannot receive signal</t>
  </si>
  <si>
    <t xml:space="preserve">TmnxEqPortEtherAlarm</t>
  </si>
  <si>
    <t xml:space="preserve">TmnxEqDigitalDiagMonitorFailure</t>
  </si>
  <si>
    <t xml:space="preserve">The dying-gasp of GPON ONTi (DGi) is generated</t>
  </si>
  <si>
    <t xml:space="preserve">CONFIG_HAVENOT_SAVED</t>
  </si>
  <si>
    <t xml:space="preserve">PON_LINK_LOSS</t>
  </si>
  <si>
    <t xml:space="preserve">DYING_GASP</t>
  </si>
  <si>
    <t xml:space="preserve">CPU_ATTACK</t>
  </si>
  <si>
    <t xml:space="preserve">Bgp Peer Backward Transition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</si>
</sst>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h]:mm"/>
    <numFmt numFmtId="166" formatCode="0.0%"/>
    <numFmt numFmtId="167" formatCode="dd\ mmm\ yyyy&quot;, &quot;hh:mm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B3261E"/>
      <name val="Arial"/>
      <family val="0"/>
      <charset val="1"/>
    </font>
    <font>
      <sz val="11"/>
      <color rgb="FF1E7A3E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B3261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customFormat="false" ht="15" hidden="false" customHeight="false" outlineLevel="0" collapsed="false">
      <c r="A7" s="4" t="n">
        <v>1</v>
      </c>
      <c r="B7" s="5" t="s">
        <v>11</v>
      </c>
      <c r="C7" s="4" t="n">
        <v>30</v>
      </c>
      <c r="D7" s="6" t="n">
        <f aca="false">SUMIF('Alarm Detail'!A:A,B7,'Alarm Detail'!E:E)</f>
        <v>0.0895833333101852</v>
      </c>
      <c r="E7" s="7" t="n">
        <f aca="false">1-D7</f>
        <v>0.910416666689815</v>
      </c>
      <c r="F7" s="8" t="n">
        <f aca="false">E7</f>
        <v>0.910416666689815</v>
      </c>
      <c r="G7" s="9" t="n">
        <v>46239.3020833333</v>
      </c>
    </row>
    <row r="8" customFormat="false" ht="15" hidden="false" customHeight="false" outlineLevel="0" collapsed="false">
      <c r="A8" s="4" t="n">
        <v>2</v>
      </c>
      <c r="B8" s="5" t="s">
        <v>12</v>
      </c>
      <c r="C8" s="4" t="n">
        <v>15</v>
      </c>
      <c r="D8" s="6" t="n">
        <f aca="false">SUMIF('Alarm Detail'!A:A,B8,'Alarm Detail'!E:E)</f>
        <v>0.048611111099537</v>
      </c>
      <c r="E8" s="7" t="n">
        <f aca="false">1-D8</f>
        <v>0.951388888900463</v>
      </c>
      <c r="F8" s="8" t="n">
        <f aca="false">E8</f>
        <v>0.951388888900463</v>
      </c>
      <c r="G8" s="9" t="n">
        <v>46239.29375</v>
      </c>
    </row>
    <row r="9" customFormat="false" ht="15" hidden="false" customHeight="false" outlineLevel="0" collapsed="false">
      <c r="A9" s="4" t="n">
        <v>3</v>
      </c>
      <c r="B9" s="5" t="s">
        <v>13</v>
      </c>
      <c r="C9" s="4" t="n">
        <v>11</v>
      </c>
      <c r="D9" s="6" t="n">
        <f aca="false">SUMIF('Alarm Detail'!A:A,B9,'Alarm Detail'!E:E)</f>
        <v>0.0361111111111111</v>
      </c>
      <c r="E9" s="7" t="n">
        <f aca="false">1-D9</f>
        <v>0.963888888888889</v>
      </c>
      <c r="F9" s="8" t="n">
        <f aca="false">E9</f>
        <v>0.963888888888889</v>
      </c>
      <c r="G9" s="9" t="n">
        <v>46239.2444444444</v>
      </c>
    </row>
    <row r="10" customFormat="false" ht="15" hidden="false" customHeight="false" outlineLevel="0" collapsed="false">
      <c r="A10" s="4" t="n">
        <v>4</v>
      </c>
      <c r="B10" s="5" t="s">
        <v>14</v>
      </c>
      <c r="C10" s="4" t="n">
        <v>9</v>
      </c>
      <c r="D10" s="6" t="n">
        <f aca="false">SUMIF('Alarm Detail'!A:A,B10,'Alarm Detail'!E:E)</f>
        <v>0.0284722221990741</v>
      </c>
      <c r="E10" s="7" t="n">
        <f aca="false">1-D10</f>
        <v>0.971527777800926</v>
      </c>
      <c r="F10" s="8" t="n">
        <f aca="false">E10</f>
        <v>0.971527777800926</v>
      </c>
      <c r="G10" s="9" t="n">
        <v>46239.2777777778</v>
      </c>
    </row>
    <row r="11" customFormat="false" ht="15" hidden="false" customHeight="false" outlineLevel="0" collapsed="false">
      <c r="A11" s="4" t="n">
        <v>5</v>
      </c>
      <c r="B11" s="5" t="s">
        <v>15</v>
      </c>
      <c r="C11" s="4" t="n">
        <v>6</v>
      </c>
      <c r="D11" s="6" t="n">
        <f aca="false">SUMIF('Alarm Detail'!A:A,B11,'Alarm Detail'!E:E)</f>
        <v>0.017361111099537</v>
      </c>
      <c r="E11" s="7" t="n">
        <f aca="false">1-D11</f>
        <v>0.982638888900463</v>
      </c>
      <c r="F11" s="8" t="n">
        <f aca="false">E11</f>
        <v>0.982638888900463</v>
      </c>
      <c r="G11" s="9" t="n">
        <v>46239.2104166667</v>
      </c>
    </row>
    <row r="12" customFormat="false" ht="15" hidden="false" customHeight="false" outlineLevel="0" collapsed="false">
      <c r="A12" s="4" t="n">
        <v>6</v>
      </c>
      <c r="B12" s="5" t="s">
        <v>16</v>
      </c>
      <c r="C12" s="4" t="n">
        <v>5</v>
      </c>
      <c r="D12" s="6" t="n">
        <f aca="false">SUMIF('Alarm Detail'!A:A,B12,'Alarm Detail'!E:E)</f>
        <v>0.0131944444444444</v>
      </c>
      <c r="E12" s="7" t="n">
        <f aca="false">1-D12</f>
        <v>0.986805555555556</v>
      </c>
      <c r="F12" s="8" t="n">
        <f aca="false">E12</f>
        <v>0.986805555555556</v>
      </c>
      <c r="G12" s="9" t="n">
        <v>46239.3194444445</v>
      </c>
    </row>
    <row r="13" customFormat="false" ht="15" hidden="false" customHeight="false" outlineLevel="0" collapsed="false">
      <c r="A13" s="4" t="n">
        <v>7</v>
      </c>
      <c r="B13" s="5" t="s">
        <v>17</v>
      </c>
      <c r="C13" s="4" t="n">
        <v>3</v>
      </c>
      <c r="D13" s="6" t="n">
        <f aca="false">SUMIF('Alarm Detail'!A:A,B13,'Alarm Detail'!E:E)</f>
        <v>0.00763888888888889</v>
      </c>
      <c r="E13" s="7" t="n">
        <f aca="false">1-D13</f>
        <v>0.992361111111111</v>
      </c>
      <c r="F13" s="8" t="n">
        <f aca="false">E13</f>
        <v>0.992361111111111</v>
      </c>
      <c r="G13" s="9" t="n">
        <v>46239.1215277778</v>
      </c>
    </row>
    <row r="14" customFormat="false" ht="15" hidden="false" customHeight="false" outlineLevel="0" collapsed="false">
      <c r="A14" s="10"/>
      <c r="B14" s="11" t="s">
        <v>18</v>
      </c>
      <c r="C14" s="12" t="n">
        <f aca="false">SUM(C7:C13)</f>
        <v>79</v>
      </c>
      <c r="D14" s="13" t="n">
        <f aca="false">SUM(D7:D13)</f>
        <v>0.240972222152778</v>
      </c>
      <c r="E14" s="10"/>
      <c r="F14" s="14" t="n">
        <f aca="false">AVERAGE(F7:F13)</f>
        <v>0.965575396835318</v>
      </c>
      <c r="G14" s="1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4" min="3" style="0" width="19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5</v>
      </c>
      <c r="B1" s="3" t="s">
        <v>19</v>
      </c>
      <c r="C1" s="3" t="s">
        <v>20</v>
      </c>
      <c r="D1" s="3" t="s">
        <v>21</v>
      </c>
      <c r="E1" s="3" t="s">
        <v>22</v>
      </c>
    </row>
    <row r="2" customFormat="false" ht="15" hidden="false" customHeight="false" outlineLevel="0" collapsed="false">
      <c r="A2" s="10" t="s">
        <v>11</v>
      </c>
      <c r="B2" s="15" t="s">
        <v>23</v>
      </c>
      <c r="C2" s="16" t="n">
        <v>46238.3472222222</v>
      </c>
      <c r="D2" s="16" t="n">
        <v>46238.3506944445</v>
      </c>
      <c r="E2" s="13" t="n">
        <f aca="false">D2-C2</f>
        <v>0.00347222222222222</v>
      </c>
    </row>
    <row r="3" customFormat="false" ht="15" hidden="false" customHeight="false" outlineLevel="0" collapsed="false">
      <c r="A3" s="10" t="s">
        <v>11</v>
      </c>
      <c r="B3" s="15" t="s">
        <v>24</v>
      </c>
      <c r="C3" s="16" t="n">
        <v>46238.3729166667</v>
      </c>
      <c r="D3" s="16" t="n">
        <v>46238.3763888889</v>
      </c>
      <c r="E3" s="13" t="n">
        <f aca="false">D3-C3</f>
        <v>0.00347222222222222</v>
      </c>
    </row>
    <row r="4" customFormat="false" ht="15" hidden="false" customHeight="false" outlineLevel="0" collapsed="false">
      <c r="A4" s="10" t="s">
        <v>11</v>
      </c>
      <c r="B4" s="15" t="s">
        <v>25</v>
      </c>
      <c r="C4" s="16" t="n">
        <v>46238.4173611111</v>
      </c>
      <c r="D4" s="16" t="n">
        <v>46238.4208333333</v>
      </c>
      <c r="E4" s="13" t="n">
        <f aca="false">D4-C4</f>
        <v>0.00347222222222222</v>
      </c>
    </row>
    <row r="5" customFormat="false" ht="15" hidden="false" customHeight="false" outlineLevel="0" collapsed="false">
      <c r="A5" s="10" t="s">
        <v>11</v>
      </c>
      <c r="B5" s="15" t="s">
        <v>26</v>
      </c>
      <c r="C5" s="16" t="n">
        <v>46238.4618055556</v>
      </c>
      <c r="D5" s="16" t="n">
        <v>46238.4652777778</v>
      </c>
      <c r="E5" s="13" t="n">
        <f aca="false">D5-C5</f>
        <v>0.00347222222222222</v>
      </c>
    </row>
    <row r="6" customFormat="false" ht="15" hidden="false" customHeight="false" outlineLevel="0" collapsed="false">
      <c r="A6" s="10" t="s">
        <v>11</v>
      </c>
      <c r="B6" s="15" t="s">
        <v>27</v>
      </c>
      <c r="C6" s="16" t="n">
        <v>46238.46875</v>
      </c>
      <c r="D6" s="16" t="n">
        <v>46238.4722222222</v>
      </c>
      <c r="E6" s="13" t="n">
        <f aca="false">D6-C6</f>
        <v>0.00347222222222222</v>
      </c>
    </row>
    <row r="7" customFormat="false" ht="15" hidden="false" customHeight="false" outlineLevel="0" collapsed="false">
      <c r="A7" s="10" t="s">
        <v>11</v>
      </c>
      <c r="B7" s="15" t="s">
        <v>28</v>
      </c>
      <c r="C7" s="16" t="n">
        <v>46238.5027777778</v>
      </c>
      <c r="D7" s="16" t="n">
        <v>46238.50625</v>
      </c>
      <c r="E7" s="13" t="n">
        <f aca="false">D7-C7</f>
        <v>0.00347222222222222</v>
      </c>
    </row>
    <row r="8" customFormat="false" ht="15" hidden="false" customHeight="false" outlineLevel="0" collapsed="false">
      <c r="A8" s="10" t="s">
        <v>11</v>
      </c>
      <c r="B8" s="15" t="s">
        <v>29</v>
      </c>
      <c r="C8" s="16" t="n">
        <v>46238.5569444444</v>
      </c>
      <c r="D8" s="16" t="n">
        <v>46238.5604166667</v>
      </c>
      <c r="E8" s="13" t="n">
        <f aca="false">D8-C8</f>
        <v>0.00347222222222222</v>
      </c>
    </row>
    <row r="9" customFormat="false" ht="15" hidden="false" customHeight="false" outlineLevel="0" collapsed="false">
      <c r="A9" s="10" t="s">
        <v>11</v>
      </c>
      <c r="B9" s="15" t="s">
        <v>30</v>
      </c>
      <c r="C9" s="16" t="n">
        <v>46238.5708333333</v>
      </c>
      <c r="D9" s="16" t="n">
        <v>46238.5743055556</v>
      </c>
      <c r="E9" s="13" t="n">
        <f aca="false">D9-C9</f>
        <v>0.00347222222222222</v>
      </c>
    </row>
    <row r="10" customFormat="false" ht="15" hidden="false" customHeight="false" outlineLevel="0" collapsed="false">
      <c r="A10" s="10" t="s">
        <v>11</v>
      </c>
      <c r="B10" s="15" t="s">
        <v>31</v>
      </c>
      <c r="C10" s="16" t="n">
        <v>46238.6159722222</v>
      </c>
      <c r="D10" s="16" t="n">
        <v>46238.6194444444</v>
      </c>
      <c r="E10" s="13" t="n">
        <f aca="false">D10-C10</f>
        <v>0.00347222222222222</v>
      </c>
    </row>
    <row r="11" customFormat="false" ht="15" hidden="false" customHeight="false" outlineLevel="0" collapsed="false">
      <c r="A11" s="10" t="s">
        <v>11</v>
      </c>
      <c r="B11" s="15" t="s">
        <v>32</v>
      </c>
      <c r="C11" s="16" t="n">
        <v>46238.6590277778</v>
      </c>
      <c r="D11" s="16" t="n">
        <v>46238.6618055556</v>
      </c>
      <c r="E11" s="13" t="n">
        <f aca="false">D11-C11</f>
        <v>0.00277777777777778</v>
      </c>
    </row>
    <row r="12" customFormat="false" ht="15" hidden="false" customHeight="false" outlineLevel="0" collapsed="false">
      <c r="A12" s="10" t="s">
        <v>11</v>
      </c>
      <c r="B12" s="15" t="s">
        <v>33</v>
      </c>
      <c r="C12" s="16" t="n">
        <v>46238.66875</v>
      </c>
      <c r="D12" s="16" t="n">
        <v>46238.6715277778</v>
      </c>
      <c r="E12" s="13" t="n">
        <f aca="false">D12-C12</f>
        <v>0.00277777777777778</v>
      </c>
    </row>
    <row r="13" customFormat="false" ht="15" hidden="false" customHeight="false" outlineLevel="0" collapsed="false">
      <c r="A13" s="10" t="s">
        <v>11</v>
      </c>
      <c r="B13" s="15" t="s">
        <v>23</v>
      </c>
      <c r="C13" s="16" t="n">
        <v>46238.7222222222</v>
      </c>
      <c r="D13" s="16" t="n">
        <v>46238.725</v>
      </c>
      <c r="E13" s="13" t="n">
        <f aca="false">D13-C13</f>
        <v>0.00277777777777778</v>
      </c>
    </row>
    <row r="14" customFormat="false" ht="15" hidden="false" customHeight="false" outlineLevel="0" collapsed="false">
      <c r="A14" s="10" t="s">
        <v>11</v>
      </c>
      <c r="B14" s="15" t="s">
        <v>24</v>
      </c>
      <c r="C14" s="16" t="n">
        <v>46238.7423611111</v>
      </c>
      <c r="D14" s="16" t="n">
        <v>46238.7451388889</v>
      </c>
      <c r="E14" s="13" t="n">
        <f aca="false">D14-C14</f>
        <v>0.00277777777777778</v>
      </c>
    </row>
    <row r="15" customFormat="false" ht="15" hidden="false" customHeight="false" outlineLevel="0" collapsed="false">
      <c r="A15" s="10" t="s">
        <v>11</v>
      </c>
      <c r="B15" s="15" t="s">
        <v>25</v>
      </c>
      <c r="C15" s="16" t="n">
        <v>46238.7680555556</v>
      </c>
      <c r="D15" s="16" t="n">
        <v>46238.7708333333</v>
      </c>
      <c r="E15" s="13" t="n">
        <f aca="false">D15-C15</f>
        <v>0.00277777777777778</v>
      </c>
    </row>
    <row r="16" customFormat="false" ht="15" hidden="false" customHeight="false" outlineLevel="0" collapsed="false">
      <c r="A16" s="10" t="s">
        <v>11</v>
      </c>
      <c r="B16" s="15" t="s">
        <v>26</v>
      </c>
      <c r="C16" s="16" t="n">
        <v>46238.8034722222</v>
      </c>
      <c r="D16" s="16" t="n">
        <v>46238.80625</v>
      </c>
      <c r="E16" s="13" t="n">
        <f aca="false">D16-C16</f>
        <v>0.00277777777777778</v>
      </c>
    </row>
    <row r="17" customFormat="false" ht="15" hidden="false" customHeight="false" outlineLevel="0" collapsed="false">
      <c r="A17" s="10" t="s">
        <v>11</v>
      </c>
      <c r="B17" s="15" t="s">
        <v>27</v>
      </c>
      <c r="C17" s="16" t="n">
        <v>46238.8520833333</v>
      </c>
      <c r="D17" s="16" t="n">
        <v>46238.8548611111</v>
      </c>
      <c r="E17" s="13" t="n">
        <f aca="false">D17-C17</f>
        <v>0.00277777777777778</v>
      </c>
    </row>
    <row r="18" customFormat="false" ht="15" hidden="false" customHeight="false" outlineLevel="0" collapsed="false">
      <c r="A18" s="10" t="s">
        <v>11</v>
      </c>
      <c r="B18" s="15" t="s">
        <v>28</v>
      </c>
      <c r="C18" s="16" t="n">
        <v>46238.8847222222</v>
      </c>
      <c r="D18" s="16" t="n">
        <v>46238.8875</v>
      </c>
      <c r="E18" s="13" t="n">
        <f aca="false">D18-C18</f>
        <v>0.00277777777777778</v>
      </c>
    </row>
    <row r="19" customFormat="false" ht="15" hidden="false" customHeight="false" outlineLevel="0" collapsed="false">
      <c r="A19" s="10" t="s">
        <v>11</v>
      </c>
      <c r="B19" s="15" t="s">
        <v>29</v>
      </c>
      <c r="C19" s="16" t="n">
        <v>46238.9027777778</v>
      </c>
      <c r="D19" s="16" t="n">
        <v>46238.9055555556</v>
      </c>
      <c r="E19" s="13" t="n">
        <f aca="false">D19-C19</f>
        <v>0.00277777777777778</v>
      </c>
    </row>
    <row r="20" customFormat="false" ht="15" hidden="false" customHeight="false" outlineLevel="0" collapsed="false">
      <c r="A20" s="10" t="s">
        <v>11</v>
      </c>
      <c r="B20" s="15" t="s">
        <v>30</v>
      </c>
      <c r="C20" s="16" t="n">
        <v>46238.94375</v>
      </c>
      <c r="D20" s="16" t="n">
        <v>46238.9465277778</v>
      </c>
      <c r="E20" s="13" t="n">
        <f aca="false">D20-C20</f>
        <v>0.00277777777777778</v>
      </c>
    </row>
    <row r="21" customFormat="false" ht="15" hidden="false" customHeight="false" outlineLevel="0" collapsed="false">
      <c r="A21" s="10" t="s">
        <v>11</v>
      </c>
      <c r="B21" s="15" t="s">
        <v>31</v>
      </c>
      <c r="C21" s="16" t="n">
        <v>46238.9701388889</v>
      </c>
      <c r="D21" s="16" t="n">
        <v>46238.9729166667</v>
      </c>
      <c r="E21" s="13" t="n">
        <f aca="false">D21-C21</f>
        <v>0.00277777777777778</v>
      </c>
    </row>
    <row r="22" customFormat="false" ht="15" hidden="false" customHeight="false" outlineLevel="0" collapsed="false">
      <c r="A22" s="10" t="s">
        <v>11</v>
      </c>
      <c r="B22" s="15" t="s">
        <v>32</v>
      </c>
      <c r="C22" s="16" t="n">
        <v>46239.0243055556</v>
      </c>
      <c r="D22" s="16" t="n">
        <v>46239.0270833333</v>
      </c>
      <c r="E22" s="13" t="n">
        <f aca="false">D22-C22</f>
        <v>0.00277777777777778</v>
      </c>
    </row>
    <row r="23" customFormat="false" ht="15" hidden="false" customHeight="false" outlineLevel="0" collapsed="false">
      <c r="A23" s="10" t="s">
        <v>11</v>
      </c>
      <c r="B23" s="15" t="s">
        <v>33</v>
      </c>
      <c r="C23" s="16" t="n">
        <v>46239.0520833333</v>
      </c>
      <c r="D23" s="16" t="n">
        <v>46239.0548611111</v>
      </c>
      <c r="E23" s="13" t="n">
        <f aca="false">D23-C23</f>
        <v>0.0027777777662037</v>
      </c>
    </row>
    <row r="24" customFormat="false" ht="15" hidden="false" customHeight="false" outlineLevel="0" collapsed="false">
      <c r="A24" s="10" t="s">
        <v>11</v>
      </c>
      <c r="B24" s="15" t="s">
        <v>23</v>
      </c>
      <c r="C24" s="16" t="n">
        <v>46239.06875</v>
      </c>
      <c r="D24" s="16" t="n">
        <v>46239.0715277778</v>
      </c>
      <c r="E24" s="13" t="n">
        <f aca="false">D24-C24</f>
        <v>0.00277777777777778</v>
      </c>
    </row>
    <row r="25" customFormat="false" ht="15" hidden="false" customHeight="false" outlineLevel="0" collapsed="false">
      <c r="A25" s="10" t="s">
        <v>11</v>
      </c>
      <c r="B25" s="15" t="s">
        <v>24</v>
      </c>
      <c r="C25" s="16" t="n">
        <v>46239.125</v>
      </c>
      <c r="D25" s="16" t="n">
        <v>46239.1277777778</v>
      </c>
      <c r="E25" s="13" t="n">
        <f aca="false">D25-C25</f>
        <v>0.00277777777777778</v>
      </c>
    </row>
    <row r="26" customFormat="false" ht="15" hidden="false" customHeight="false" outlineLevel="0" collapsed="false">
      <c r="A26" s="10" t="s">
        <v>11</v>
      </c>
      <c r="B26" s="15" t="s">
        <v>25</v>
      </c>
      <c r="C26" s="16" t="n">
        <v>46239.1381944444</v>
      </c>
      <c r="D26" s="16" t="n">
        <v>46239.1409722222</v>
      </c>
      <c r="E26" s="13" t="n">
        <f aca="false">D26-C26</f>
        <v>0.00277777777777778</v>
      </c>
    </row>
    <row r="27" customFormat="false" ht="15" hidden="false" customHeight="false" outlineLevel="0" collapsed="false">
      <c r="A27" s="10" t="s">
        <v>11</v>
      </c>
      <c r="B27" s="15" t="s">
        <v>26</v>
      </c>
      <c r="C27" s="16" t="n">
        <v>46239.1763888889</v>
      </c>
      <c r="D27" s="16" t="n">
        <v>46239.1791666667</v>
      </c>
      <c r="E27" s="13" t="n">
        <f aca="false">D27-C27</f>
        <v>0.00277777777777778</v>
      </c>
    </row>
    <row r="28" customFormat="false" ht="15" hidden="false" customHeight="false" outlineLevel="0" collapsed="false">
      <c r="A28" s="10" t="s">
        <v>11</v>
      </c>
      <c r="B28" s="15" t="s">
        <v>27</v>
      </c>
      <c r="C28" s="16" t="n">
        <v>46239.2277777778</v>
      </c>
      <c r="D28" s="16" t="n">
        <v>46239.2305555556</v>
      </c>
      <c r="E28" s="13" t="n">
        <f aca="false">D28-C28</f>
        <v>0.00277777777777778</v>
      </c>
    </row>
    <row r="29" customFormat="false" ht="15" hidden="false" customHeight="false" outlineLevel="0" collapsed="false">
      <c r="A29" s="10" t="s">
        <v>11</v>
      </c>
      <c r="B29" s="15" t="s">
        <v>28</v>
      </c>
      <c r="C29" s="16" t="n">
        <v>46239.2611111111</v>
      </c>
      <c r="D29" s="16" t="n">
        <v>46239.2638888889</v>
      </c>
      <c r="E29" s="13" t="n">
        <f aca="false">D29-C29</f>
        <v>0.00277777777777778</v>
      </c>
    </row>
    <row r="30" customFormat="false" ht="15" hidden="false" customHeight="false" outlineLevel="0" collapsed="false">
      <c r="A30" s="10" t="s">
        <v>11</v>
      </c>
      <c r="B30" s="15" t="s">
        <v>29</v>
      </c>
      <c r="C30" s="16" t="n">
        <v>46239.2923611111</v>
      </c>
      <c r="D30" s="16" t="n">
        <v>46239.2951388889</v>
      </c>
      <c r="E30" s="13" t="n">
        <f aca="false">D30-C30</f>
        <v>0.00277777777777778</v>
      </c>
    </row>
    <row r="31" customFormat="false" ht="15" hidden="false" customHeight="false" outlineLevel="0" collapsed="false">
      <c r="A31" s="10" t="s">
        <v>11</v>
      </c>
      <c r="B31" s="15" t="s">
        <v>30</v>
      </c>
      <c r="C31" s="16" t="n">
        <v>46239.3020833333</v>
      </c>
      <c r="D31" s="16" t="n">
        <v>46239.3048611111</v>
      </c>
      <c r="E31" s="13" t="n">
        <f aca="false">D31-C31</f>
        <v>0.0027777777662037</v>
      </c>
    </row>
    <row r="32" customFormat="false" ht="15" hidden="false" customHeight="false" outlineLevel="0" collapsed="false">
      <c r="A32" s="10" t="s">
        <v>12</v>
      </c>
      <c r="B32" s="15" t="s">
        <v>26</v>
      </c>
      <c r="C32" s="16" t="n">
        <v>46238.3840277778</v>
      </c>
      <c r="D32" s="16" t="n">
        <v>46238.3875</v>
      </c>
      <c r="E32" s="13" t="n">
        <f aca="false">D32-C32</f>
        <v>0.00347222222222222</v>
      </c>
    </row>
    <row r="33" customFormat="false" ht="15" hidden="false" customHeight="false" outlineLevel="0" collapsed="false">
      <c r="A33" s="10" t="s">
        <v>12</v>
      </c>
      <c r="B33" s="15" t="s">
        <v>27</v>
      </c>
      <c r="C33" s="16" t="n">
        <v>46238.4513888889</v>
      </c>
      <c r="D33" s="16" t="n">
        <v>46238.4548611111</v>
      </c>
      <c r="E33" s="13" t="n">
        <f aca="false">D33-C33</f>
        <v>0.00347222222222222</v>
      </c>
    </row>
    <row r="34" customFormat="false" ht="15" hidden="false" customHeight="false" outlineLevel="0" collapsed="false">
      <c r="A34" s="10" t="s">
        <v>12</v>
      </c>
      <c r="B34" s="15" t="s">
        <v>28</v>
      </c>
      <c r="C34" s="16" t="n">
        <v>46238.5013888889</v>
      </c>
      <c r="D34" s="16" t="n">
        <v>46238.5048611111</v>
      </c>
      <c r="E34" s="13" t="n">
        <f aca="false">D34-C34</f>
        <v>0.00347222222222222</v>
      </c>
    </row>
    <row r="35" customFormat="false" ht="15" hidden="false" customHeight="false" outlineLevel="0" collapsed="false">
      <c r="A35" s="10" t="s">
        <v>12</v>
      </c>
      <c r="B35" s="15" t="s">
        <v>29</v>
      </c>
      <c r="C35" s="16" t="n">
        <v>46238.5375</v>
      </c>
      <c r="D35" s="16" t="n">
        <v>46238.5409722222</v>
      </c>
      <c r="E35" s="13" t="n">
        <f aca="false">D35-C35</f>
        <v>0.00347222222222222</v>
      </c>
    </row>
    <row r="36" customFormat="false" ht="15" hidden="false" customHeight="false" outlineLevel="0" collapsed="false">
      <c r="A36" s="10" t="s">
        <v>12</v>
      </c>
      <c r="B36" s="15" t="s">
        <v>30</v>
      </c>
      <c r="C36" s="16" t="n">
        <v>46238.6194444444</v>
      </c>
      <c r="D36" s="16" t="n">
        <v>46238.6229166667</v>
      </c>
      <c r="E36" s="13" t="n">
        <f aca="false">D36-C36</f>
        <v>0.00347222222222222</v>
      </c>
    </row>
    <row r="37" customFormat="false" ht="15" hidden="false" customHeight="false" outlineLevel="0" collapsed="false">
      <c r="A37" s="10" t="s">
        <v>12</v>
      </c>
      <c r="B37" s="15" t="s">
        <v>31</v>
      </c>
      <c r="C37" s="16" t="n">
        <v>46238.6701388889</v>
      </c>
      <c r="D37" s="16" t="n">
        <v>46238.6736111111</v>
      </c>
      <c r="E37" s="13" t="n">
        <f aca="false">D37-C37</f>
        <v>0.00347222222222222</v>
      </c>
    </row>
    <row r="38" customFormat="false" ht="15" hidden="false" customHeight="false" outlineLevel="0" collapsed="false">
      <c r="A38" s="10" t="s">
        <v>12</v>
      </c>
      <c r="B38" s="15" t="s">
        <v>32</v>
      </c>
      <c r="C38" s="16" t="n">
        <v>46238.7826388889</v>
      </c>
      <c r="D38" s="16" t="n">
        <v>46238.7861111111</v>
      </c>
      <c r="E38" s="13" t="n">
        <f aca="false">D38-C38</f>
        <v>0.00347222222222222</v>
      </c>
    </row>
    <row r="39" customFormat="false" ht="15" hidden="false" customHeight="false" outlineLevel="0" collapsed="false">
      <c r="A39" s="10" t="s">
        <v>12</v>
      </c>
      <c r="B39" s="15" t="s">
        <v>33</v>
      </c>
      <c r="C39" s="16" t="n">
        <v>46238.8118055556</v>
      </c>
      <c r="D39" s="16" t="n">
        <v>46238.8152777778</v>
      </c>
      <c r="E39" s="13" t="n">
        <f aca="false">D39-C39</f>
        <v>0.00347222222222222</v>
      </c>
    </row>
    <row r="40" customFormat="false" ht="15" hidden="false" customHeight="false" outlineLevel="0" collapsed="false">
      <c r="A40" s="10" t="s">
        <v>12</v>
      </c>
      <c r="B40" s="15" t="s">
        <v>23</v>
      </c>
      <c r="C40" s="16" t="n">
        <v>46238.8923611111</v>
      </c>
      <c r="D40" s="16" t="n">
        <v>46238.8958333333</v>
      </c>
      <c r="E40" s="13" t="n">
        <f aca="false">D40-C40</f>
        <v>0.00347222222222222</v>
      </c>
    </row>
    <row r="41" customFormat="false" ht="15" hidden="false" customHeight="false" outlineLevel="0" collapsed="false">
      <c r="A41" s="10" t="s">
        <v>12</v>
      </c>
      <c r="B41" s="15" t="s">
        <v>24</v>
      </c>
      <c r="C41" s="16" t="n">
        <v>46238.9701388889</v>
      </c>
      <c r="D41" s="16" t="n">
        <v>46238.9736111111</v>
      </c>
      <c r="E41" s="13" t="n">
        <f aca="false">D41-C41</f>
        <v>0.00347222222222222</v>
      </c>
    </row>
    <row r="42" customFormat="false" ht="15" hidden="false" customHeight="false" outlineLevel="0" collapsed="false">
      <c r="A42" s="10" t="s">
        <v>12</v>
      </c>
      <c r="B42" s="15" t="s">
        <v>25</v>
      </c>
      <c r="C42" s="16" t="n">
        <v>46239.0125</v>
      </c>
      <c r="D42" s="16" t="n">
        <v>46239.0152777778</v>
      </c>
      <c r="E42" s="13" t="n">
        <f aca="false">D42-C42</f>
        <v>0.00277777777777778</v>
      </c>
    </row>
    <row r="43" customFormat="false" ht="15" hidden="false" customHeight="false" outlineLevel="0" collapsed="false">
      <c r="A43" s="10" t="s">
        <v>12</v>
      </c>
      <c r="B43" s="15" t="s">
        <v>26</v>
      </c>
      <c r="C43" s="16" t="n">
        <v>46239.1145833333</v>
      </c>
      <c r="D43" s="16" t="n">
        <v>46239.1173611111</v>
      </c>
      <c r="E43" s="13" t="n">
        <f aca="false">D43-C43</f>
        <v>0.0027777777662037</v>
      </c>
    </row>
    <row r="44" customFormat="false" ht="15" hidden="false" customHeight="false" outlineLevel="0" collapsed="false">
      <c r="A44" s="10" t="s">
        <v>12</v>
      </c>
      <c r="B44" s="15" t="s">
        <v>27</v>
      </c>
      <c r="C44" s="16" t="n">
        <v>46239.14375</v>
      </c>
      <c r="D44" s="16" t="n">
        <v>46239.1465277778</v>
      </c>
      <c r="E44" s="13" t="n">
        <f aca="false">D44-C44</f>
        <v>0.00277777777777778</v>
      </c>
    </row>
    <row r="45" customFormat="false" ht="15" hidden="false" customHeight="false" outlineLevel="0" collapsed="false">
      <c r="A45" s="10" t="s">
        <v>12</v>
      </c>
      <c r="B45" s="15" t="s">
        <v>28</v>
      </c>
      <c r="C45" s="16" t="n">
        <v>46239.2506944445</v>
      </c>
      <c r="D45" s="16" t="n">
        <v>46239.2534722222</v>
      </c>
      <c r="E45" s="13" t="n">
        <f aca="false">D45-C45</f>
        <v>0.00277777777777778</v>
      </c>
    </row>
    <row r="46" customFormat="false" ht="15" hidden="false" customHeight="false" outlineLevel="0" collapsed="false">
      <c r="A46" s="10" t="s">
        <v>12</v>
      </c>
      <c r="B46" s="15" t="s">
        <v>29</v>
      </c>
      <c r="C46" s="16" t="n">
        <v>46239.29375</v>
      </c>
      <c r="D46" s="16" t="n">
        <v>46239.2965277778</v>
      </c>
      <c r="E46" s="13" t="n">
        <f aca="false">D46-C46</f>
        <v>0.00277777777777778</v>
      </c>
    </row>
    <row r="47" customFormat="false" ht="15" hidden="false" customHeight="false" outlineLevel="0" collapsed="false">
      <c r="A47" s="10" t="s">
        <v>13</v>
      </c>
      <c r="B47" s="15" t="s">
        <v>26</v>
      </c>
      <c r="C47" s="16" t="n">
        <v>46238.3826388889</v>
      </c>
      <c r="D47" s="16" t="n">
        <v>46238.3861111111</v>
      </c>
      <c r="E47" s="13" t="n">
        <f aca="false">D47-C47</f>
        <v>0.00347222222222222</v>
      </c>
    </row>
    <row r="48" customFormat="false" ht="15" hidden="false" customHeight="false" outlineLevel="0" collapsed="false">
      <c r="A48" s="10" t="s">
        <v>13</v>
      </c>
      <c r="B48" s="15" t="s">
        <v>27</v>
      </c>
      <c r="C48" s="16" t="n">
        <v>46238.4958333333</v>
      </c>
      <c r="D48" s="16" t="n">
        <v>46238.4993055556</v>
      </c>
      <c r="E48" s="13" t="n">
        <f aca="false">D48-C48</f>
        <v>0.00347222222222222</v>
      </c>
    </row>
    <row r="49" customFormat="false" ht="15" hidden="false" customHeight="false" outlineLevel="0" collapsed="false">
      <c r="A49" s="10" t="s">
        <v>13</v>
      </c>
      <c r="B49" s="15" t="s">
        <v>28</v>
      </c>
      <c r="C49" s="16" t="n">
        <v>46238.5743055556</v>
      </c>
      <c r="D49" s="16" t="n">
        <v>46238.5777777778</v>
      </c>
      <c r="E49" s="13" t="n">
        <f aca="false">D49-C49</f>
        <v>0.00347222222222222</v>
      </c>
    </row>
    <row r="50" customFormat="false" ht="15" hidden="false" customHeight="false" outlineLevel="0" collapsed="false">
      <c r="A50" s="10" t="s">
        <v>13</v>
      </c>
      <c r="B50" s="15" t="s">
        <v>29</v>
      </c>
      <c r="C50" s="16" t="n">
        <v>46238.6201388889</v>
      </c>
      <c r="D50" s="16" t="n">
        <v>46238.6236111111</v>
      </c>
      <c r="E50" s="13" t="n">
        <f aca="false">D50-C50</f>
        <v>0.00347222222222222</v>
      </c>
    </row>
    <row r="51" customFormat="false" ht="15" hidden="false" customHeight="false" outlineLevel="0" collapsed="false">
      <c r="A51" s="10" t="s">
        <v>13</v>
      </c>
      <c r="B51" s="15" t="s">
        <v>30</v>
      </c>
      <c r="C51" s="16" t="n">
        <v>46238.7034722222</v>
      </c>
      <c r="D51" s="16" t="n">
        <v>46238.7069444444</v>
      </c>
      <c r="E51" s="13" t="n">
        <f aca="false">D51-C51</f>
        <v>0.00347222222222222</v>
      </c>
    </row>
    <row r="52" customFormat="false" ht="15" hidden="false" customHeight="false" outlineLevel="0" collapsed="false">
      <c r="A52" s="10" t="s">
        <v>13</v>
      </c>
      <c r="B52" s="15" t="s">
        <v>31</v>
      </c>
      <c r="C52" s="16" t="n">
        <v>46238.8361111111</v>
      </c>
      <c r="D52" s="16" t="n">
        <v>46238.8395833333</v>
      </c>
      <c r="E52" s="13" t="n">
        <f aca="false">D52-C52</f>
        <v>0.00347222222222222</v>
      </c>
    </row>
    <row r="53" customFormat="false" ht="15" hidden="false" customHeight="false" outlineLevel="0" collapsed="false">
      <c r="A53" s="10" t="s">
        <v>13</v>
      </c>
      <c r="B53" s="15" t="s">
        <v>32</v>
      </c>
      <c r="C53" s="16" t="n">
        <v>46238.9256944444</v>
      </c>
      <c r="D53" s="16" t="n">
        <v>46238.9291666667</v>
      </c>
      <c r="E53" s="13" t="n">
        <f aca="false">D53-C53</f>
        <v>0.00347222222222222</v>
      </c>
    </row>
    <row r="54" customFormat="false" ht="15" hidden="false" customHeight="false" outlineLevel="0" collapsed="false">
      <c r="A54" s="10" t="s">
        <v>13</v>
      </c>
      <c r="B54" s="15" t="s">
        <v>33</v>
      </c>
      <c r="C54" s="16" t="n">
        <v>46239.0215277778</v>
      </c>
      <c r="D54" s="16" t="n">
        <v>46239.025</v>
      </c>
      <c r="E54" s="13" t="n">
        <f aca="false">D54-C54</f>
        <v>0.00347222222222222</v>
      </c>
    </row>
    <row r="55" customFormat="false" ht="15" hidden="false" customHeight="false" outlineLevel="0" collapsed="false">
      <c r="A55" s="10" t="s">
        <v>13</v>
      </c>
      <c r="B55" s="15" t="s">
        <v>23</v>
      </c>
      <c r="C55" s="16" t="n">
        <v>46239.0722222222</v>
      </c>
      <c r="D55" s="16" t="n">
        <v>46239.075</v>
      </c>
      <c r="E55" s="13" t="n">
        <f aca="false">D55-C55</f>
        <v>0.00277777777777778</v>
      </c>
    </row>
    <row r="56" customFormat="false" ht="15" hidden="false" customHeight="false" outlineLevel="0" collapsed="false">
      <c r="A56" s="10" t="s">
        <v>13</v>
      </c>
      <c r="B56" s="15" t="s">
        <v>24</v>
      </c>
      <c r="C56" s="16" t="n">
        <v>46239.1784722222</v>
      </c>
      <c r="D56" s="16" t="n">
        <v>46239.18125</v>
      </c>
      <c r="E56" s="13" t="n">
        <f aca="false">D56-C56</f>
        <v>0.00277777777777778</v>
      </c>
    </row>
    <row r="57" customFormat="false" ht="15" hidden="false" customHeight="false" outlineLevel="0" collapsed="false">
      <c r="A57" s="10" t="s">
        <v>13</v>
      </c>
      <c r="B57" s="15" t="s">
        <v>25</v>
      </c>
      <c r="C57" s="16" t="n">
        <v>46239.2444444444</v>
      </c>
      <c r="D57" s="16" t="n">
        <v>46239.2472222222</v>
      </c>
      <c r="E57" s="13" t="n">
        <f aca="false">D57-C57</f>
        <v>0.00277777777777778</v>
      </c>
    </row>
    <row r="58" customFormat="false" ht="15" hidden="false" customHeight="false" outlineLevel="0" collapsed="false">
      <c r="A58" s="10" t="s">
        <v>14</v>
      </c>
      <c r="B58" s="15" t="s">
        <v>31</v>
      </c>
      <c r="C58" s="16" t="n">
        <v>46238.4305555556</v>
      </c>
      <c r="D58" s="16" t="n">
        <v>46238.4340277778</v>
      </c>
      <c r="E58" s="13" t="n">
        <f aca="false">D58-C58</f>
        <v>0.00347222222222222</v>
      </c>
    </row>
    <row r="59" customFormat="false" ht="15" hidden="false" customHeight="false" outlineLevel="0" collapsed="false">
      <c r="A59" s="10" t="s">
        <v>14</v>
      </c>
      <c r="B59" s="15" t="s">
        <v>32</v>
      </c>
      <c r="C59" s="16" t="n">
        <v>46238.4555555556</v>
      </c>
      <c r="D59" s="16" t="n">
        <v>46238.4590277778</v>
      </c>
      <c r="E59" s="13" t="n">
        <f aca="false">D59-C59</f>
        <v>0.00347222222222222</v>
      </c>
    </row>
    <row r="60" customFormat="false" ht="15" hidden="false" customHeight="false" outlineLevel="0" collapsed="false">
      <c r="A60" s="10" t="s">
        <v>14</v>
      </c>
      <c r="B60" s="15" t="s">
        <v>33</v>
      </c>
      <c r="C60" s="16" t="n">
        <v>46238.6555555556</v>
      </c>
      <c r="D60" s="16" t="n">
        <v>46238.6590277778</v>
      </c>
      <c r="E60" s="13" t="n">
        <f aca="false">D60-C60</f>
        <v>0.00347222222222222</v>
      </c>
    </row>
    <row r="61" customFormat="false" ht="15" hidden="false" customHeight="false" outlineLevel="0" collapsed="false">
      <c r="A61" s="10" t="s">
        <v>14</v>
      </c>
      <c r="B61" s="15" t="s">
        <v>23</v>
      </c>
      <c r="C61" s="16" t="n">
        <v>46238.6770833333</v>
      </c>
      <c r="D61" s="16" t="n">
        <v>46238.6805555556</v>
      </c>
      <c r="E61" s="13" t="n">
        <f aca="false">D61-C61</f>
        <v>0.00347222219907407</v>
      </c>
    </row>
    <row r="62" customFormat="false" ht="15" hidden="false" customHeight="false" outlineLevel="0" collapsed="false">
      <c r="A62" s="10" t="s">
        <v>14</v>
      </c>
      <c r="B62" s="15" t="s">
        <v>24</v>
      </c>
      <c r="C62" s="16" t="n">
        <v>46238.8138888889</v>
      </c>
      <c r="D62" s="16" t="n">
        <v>46238.8173611111</v>
      </c>
      <c r="E62" s="13" t="n">
        <f aca="false">D62-C62</f>
        <v>0.00347222222222222</v>
      </c>
    </row>
    <row r="63" customFormat="false" ht="15" hidden="false" customHeight="false" outlineLevel="0" collapsed="false">
      <c r="A63" s="10" t="s">
        <v>14</v>
      </c>
      <c r="B63" s="15" t="s">
        <v>25</v>
      </c>
      <c r="C63" s="16" t="n">
        <v>46238.9770833333</v>
      </c>
      <c r="D63" s="16" t="n">
        <v>46238.9798611111</v>
      </c>
      <c r="E63" s="13" t="n">
        <f aca="false">D63-C63</f>
        <v>0.00277777777777778</v>
      </c>
    </row>
    <row r="64" customFormat="false" ht="15" hidden="false" customHeight="false" outlineLevel="0" collapsed="false">
      <c r="A64" s="10" t="s">
        <v>14</v>
      </c>
      <c r="B64" s="15" t="s">
        <v>26</v>
      </c>
      <c r="C64" s="16" t="n">
        <v>46239.0944444445</v>
      </c>
      <c r="D64" s="16" t="n">
        <v>46239.0972222222</v>
      </c>
      <c r="E64" s="13" t="n">
        <f aca="false">D64-C64</f>
        <v>0.00277777777777778</v>
      </c>
    </row>
    <row r="65" customFormat="false" ht="15" hidden="false" customHeight="false" outlineLevel="0" collapsed="false">
      <c r="A65" s="10" t="s">
        <v>14</v>
      </c>
      <c r="B65" s="15" t="s">
        <v>27</v>
      </c>
      <c r="C65" s="16" t="n">
        <v>46239.1868055556</v>
      </c>
      <c r="D65" s="16" t="n">
        <v>46239.1895833333</v>
      </c>
      <c r="E65" s="13" t="n">
        <f aca="false">D65-C65</f>
        <v>0.00277777777777778</v>
      </c>
    </row>
    <row r="66" customFormat="false" ht="15" hidden="false" customHeight="false" outlineLevel="0" collapsed="false">
      <c r="A66" s="10" t="s">
        <v>14</v>
      </c>
      <c r="B66" s="15" t="s">
        <v>28</v>
      </c>
      <c r="C66" s="16" t="n">
        <v>46239.2777777778</v>
      </c>
      <c r="D66" s="16" t="n">
        <v>46239.2805555556</v>
      </c>
      <c r="E66" s="13" t="n">
        <f aca="false">D66-C66</f>
        <v>0.00277777777777778</v>
      </c>
    </row>
    <row r="67" customFormat="false" ht="15" hidden="false" customHeight="false" outlineLevel="0" collapsed="false">
      <c r="A67" s="10" t="s">
        <v>15</v>
      </c>
      <c r="B67" s="15" t="s">
        <v>30</v>
      </c>
      <c r="C67" s="16" t="n">
        <v>46238.4159722222</v>
      </c>
      <c r="D67" s="16" t="n">
        <v>46238.4194444444</v>
      </c>
      <c r="E67" s="13" t="n">
        <f aca="false">D67-C67</f>
        <v>0.00347222222222222</v>
      </c>
    </row>
    <row r="68" customFormat="false" ht="15" hidden="false" customHeight="false" outlineLevel="0" collapsed="false">
      <c r="A68" s="10" t="s">
        <v>15</v>
      </c>
      <c r="B68" s="15" t="s">
        <v>31</v>
      </c>
      <c r="C68" s="16" t="n">
        <v>46238.6034722222</v>
      </c>
      <c r="D68" s="16" t="n">
        <v>46238.60625</v>
      </c>
      <c r="E68" s="13" t="n">
        <f aca="false">D68-C68</f>
        <v>0.00277777777777778</v>
      </c>
    </row>
    <row r="69" customFormat="false" ht="15" hidden="false" customHeight="false" outlineLevel="0" collapsed="false">
      <c r="A69" s="10" t="s">
        <v>15</v>
      </c>
      <c r="B69" s="15" t="s">
        <v>32</v>
      </c>
      <c r="C69" s="16" t="n">
        <v>46238.7472222222</v>
      </c>
      <c r="D69" s="16" t="n">
        <v>46238.75</v>
      </c>
      <c r="E69" s="13" t="n">
        <f aca="false">D69-C69</f>
        <v>0.00277777777777778</v>
      </c>
    </row>
    <row r="70" customFormat="false" ht="15" hidden="false" customHeight="false" outlineLevel="0" collapsed="false">
      <c r="A70" s="10" t="s">
        <v>15</v>
      </c>
      <c r="B70" s="15" t="s">
        <v>33</v>
      </c>
      <c r="C70" s="16" t="n">
        <v>46238.8972222222</v>
      </c>
      <c r="D70" s="16" t="n">
        <v>46238.9</v>
      </c>
      <c r="E70" s="13" t="n">
        <f aca="false">D70-C70</f>
        <v>0.00277777777777778</v>
      </c>
    </row>
    <row r="71" customFormat="false" ht="15" hidden="false" customHeight="false" outlineLevel="0" collapsed="false">
      <c r="A71" s="10" t="s">
        <v>15</v>
      </c>
      <c r="B71" s="15" t="s">
        <v>23</v>
      </c>
      <c r="C71" s="16" t="n">
        <v>46239.0527777778</v>
      </c>
      <c r="D71" s="16" t="n">
        <v>46239.0555555556</v>
      </c>
      <c r="E71" s="13" t="n">
        <f aca="false">D71-C71</f>
        <v>0.0027777777662037</v>
      </c>
    </row>
    <row r="72" customFormat="false" ht="15" hidden="false" customHeight="false" outlineLevel="0" collapsed="false">
      <c r="A72" s="10" t="s">
        <v>15</v>
      </c>
      <c r="B72" s="15" t="s">
        <v>24</v>
      </c>
      <c r="C72" s="16" t="n">
        <v>46239.2104166667</v>
      </c>
      <c r="D72" s="16" t="n">
        <v>46239.2131944444</v>
      </c>
      <c r="E72" s="13" t="n">
        <f aca="false">D72-C72</f>
        <v>0.00277777777777778</v>
      </c>
    </row>
    <row r="73" customFormat="false" ht="15" hidden="false" customHeight="false" outlineLevel="0" collapsed="false">
      <c r="A73" s="10" t="s">
        <v>16</v>
      </c>
      <c r="B73" s="15" t="s">
        <v>33</v>
      </c>
      <c r="C73" s="16" t="n">
        <v>46238.3972222222</v>
      </c>
      <c r="D73" s="16" t="n">
        <v>46238.4</v>
      </c>
      <c r="E73" s="13" t="n">
        <f aca="false">D73-C73</f>
        <v>0.00277777777777778</v>
      </c>
    </row>
    <row r="74" customFormat="false" ht="15" hidden="false" customHeight="false" outlineLevel="0" collapsed="false">
      <c r="A74" s="10" t="s">
        <v>16</v>
      </c>
      <c r="B74" s="15" t="s">
        <v>23</v>
      </c>
      <c r="C74" s="16" t="n">
        <v>46238.6194444444</v>
      </c>
      <c r="D74" s="16" t="n">
        <v>46238.6222222222</v>
      </c>
      <c r="E74" s="13" t="n">
        <f aca="false">D74-C74</f>
        <v>0.00277777777777778</v>
      </c>
    </row>
    <row r="75" customFormat="false" ht="15" hidden="false" customHeight="false" outlineLevel="0" collapsed="false">
      <c r="A75" s="10" t="s">
        <v>16</v>
      </c>
      <c r="B75" s="15" t="s">
        <v>24</v>
      </c>
      <c r="C75" s="16" t="n">
        <v>46238.7618055556</v>
      </c>
      <c r="D75" s="16" t="n">
        <v>46238.7645833333</v>
      </c>
      <c r="E75" s="13" t="n">
        <f aca="false">D75-C75</f>
        <v>0.00277777777777778</v>
      </c>
    </row>
    <row r="76" customFormat="false" ht="15" hidden="false" customHeight="false" outlineLevel="0" collapsed="false">
      <c r="A76" s="10" t="s">
        <v>16</v>
      </c>
      <c r="B76" s="15" t="s">
        <v>25</v>
      </c>
      <c r="C76" s="16" t="n">
        <v>46239.0395833333</v>
      </c>
      <c r="D76" s="16" t="n">
        <v>46239.0423611111</v>
      </c>
      <c r="E76" s="13" t="n">
        <f aca="false">D76-C76</f>
        <v>0.00277777777777778</v>
      </c>
    </row>
    <row r="77" customFormat="false" ht="15" hidden="false" customHeight="false" outlineLevel="0" collapsed="false">
      <c r="A77" s="10" t="s">
        <v>16</v>
      </c>
      <c r="B77" s="15" t="s">
        <v>26</v>
      </c>
      <c r="C77" s="16" t="n">
        <v>46239.3194444445</v>
      </c>
      <c r="D77" s="16" t="n">
        <v>46239.3215277778</v>
      </c>
      <c r="E77" s="13" t="n">
        <f aca="false">D77-C77</f>
        <v>0.00208333333333333</v>
      </c>
    </row>
    <row r="78" customFormat="false" ht="15" hidden="false" customHeight="false" outlineLevel="0" collapsed="false">
      <c r="A78" s="10" t="s">
        <v>17</v>
      </c>
      <c r="B78" s="15" t="s">
        <v>24</v>
      </c>
      <c r="C78" s="16" t="n">
        <v>46238.5090277778</v>
      </c>
      <c r="D78" s="16" t="n">
        <v>46238.5118055556</v>
      </c>
      <c r="E78" s="13" t="n">
        <f aca="false">D78-C78</f>
        <v>0.00277777777777778</v>
      </c>
    </row>
    <row r="79" customFormat="false" ht="15" hidden="false" customHeight="false" outlineLevel="0" collapsed="false">
      <c r="A79" s="10" t="s">
        <v>17</v>
      </c>
      <c r="B79" s="15" t="s">
        <v>25</v>
      </c>
      <c r="C79" s="16" t="n">
        <v>46238.9777777778</v>
      </c>
      <c r="D79" s="16" t="n">
        <v>46238.9805555556</v>
      </c>
      <c r="E79" s="13" t="n">
        <f aca="false">D79-C79</f>
        <v>0.00277777777777778</v>
      </c>
    </row>
    <row r="80" customFormat="false" ht="15" hidden="false" customHeight="false" outlineLevel="0" collapsed="false">
      <c r="A80" s="10" t="s">
        <v>17</v>
      </c>
      <c r="B80" s="15" t="s">
        <v>26</v>
      </c>
      <c r="C80" s="16" t="n">
        <v>46239.1215277778</v>
      </c>
      <c r="D80" s="16" t="n">
        <v>46239.1236111111</v>
      </c>
      <c r="E80" s="13" t="n">
        <f aca="false">D80-C80</f>
        <v>0.00208333333333333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2026-08-04T08:13:00Z</dcterms:created>
  <dc:creator>openpyxl</dc:creator>
  <dc:description/>
  <dc:language>en-US</dc:language>
  <cp:lastModifiedBy/>
  <dcterms:modified xsi:type="dcterms:W3CDTF">2026-08-04T08:13:00Z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